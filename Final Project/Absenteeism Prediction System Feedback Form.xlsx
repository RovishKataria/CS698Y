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D239E5F2-639A-4AAA-BA56-C727B7DAF301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" i="1" l="1"/>
  <c r="W2" i="1"/>
  <c r="W3" i="1"/>
  <c r="W4" i="1"/>
  <c r="W5" i="1"/>
  <c r="W6" i="1"/>
  <c r="V2" i="1"/>
  <c r="U2" i="1"/>
  <c r="T2" i="1"/>
  <c r="S2" i="1"/>
  <c r="R2" i="1"/>
  <c r="Q2" i="1"/>
  <c r="P2" i="1"/>
  <c r="O2" i="1"/>
  <c r="X2" i="1" s="1"/>
  <c r="V3" i="1"/>
  <c r="V4" i="1"/>
  <c r="V5" i="1"/>
  <c r="V6" i="1"/>
  <c r="U3" i="1"/>
  <c r="U4" i="1"/>
  <c r="U5" i="1"/>
  <c r="U6" i="1"/>
  <c r="T3" i="1"/>
  <c r="T4" i="1"/>
  <c r="T5" i="1"/>
  <c r="T6" i="1"/>
  <c r="S3" i="1"/>
  <c r="S4" i="1"/>
  <c r="S5" i="1"/>
  <c r="S6" i="1"/>
  <c r="R3" i="1"/>
  <c r="R4" i="1"/>
  <c r="R5" i="1"/>
  <c r="R6" i="1"/>
  <c r="Q3" i="1"/>
  <c r="Q4" i="1"/>
  <c r="Q5" i="1"/>
  <c r="Q6" i="1"/>
  <c r="P3" i="1"/>
  <c r="P4" i="1"/>
  <c r="P5" i="1"/>
  <c r="P6" i="1"/>
  <c r="O3" i="1"/>
  <c r="X3" i="1" s="1"/>
  <c r="O4" i="1"/>
  <c r="X4" i="1" s="1"/>
  <c r="O5" i="1"/>
  <c r="X5" i="1" s="1"/>
  <c r="O6" i="1"/>
  <c r="X6" i="1" s="1"/>
  <c r="C9" i="1"/>
</calcChain>
</file>

<file path=xl/sharedStrings.xml><?xml version="1.0" encoding="utf-8"?>
<sst xmlns="http://schemas.openxmlformats.org/spreadsheetml/2006/main" count="82" uniqueCount="33">
  <si>
    <t>Id</t>
  </si>
  <si>
    <t>Start time</t>
  </si>
  <si>
    <t>Completion time</t>
  </si>
  <si>
    <t>Email</t>
  </si>
  <si>
    <t>Name</t>
  </si>
  <si>
    <t>I found the system intuitive to navigate and use.
.</t>
  </si>
  <si>
    <t>The system had too many confusing features that were hard to understand..</t>
  </si>
  <si>
    <t>I was able to complete my tasks efficiently using this system..</t>
  </si>
  <si>
    <t>The system's interface was clean and well-organized. .</t>
  </si>
  <si>
    <t>I often felt lost while trying to find specific features or options. .</t>
  </si>
  <si>
    <t>I would recommend this system to others for similar tasks..</t>
  </si>
  <si>
    <t>The system was too complex for the tasks needed to be performed..</t>
  </si>
  <si>
    <t>I felt in control of the system and its functions..</t>
  </si>
  <si>
    <t>It took me too long to learn how to use the system effectively..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</si>
  <si>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</si>
  <si>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</si>
  <si>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</si>
  <si>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</si>
  <si>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</si>
  <si>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</si>
  <si>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</si>
  <si>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</si>
  <si>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</si>
  <si>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SUM_TOTAL</t>
  </si>
  <si>
    <t>Column1</t>
  </si>
  <si>
    <t>anonymous</t>
  </si>
  <si>
    <t>Agree</t>
  </si>
  <si>
    <t>Disagree</t>
  </si>
  <si>
    <t>Strongly disagree</t>
  </si>
  <si>
    <t>Strongly agree</t>
  </si>
  <si>
    <t>Neither agree nor disagree</t>
  </si>
  <si>
    <t>Z (Response Text)</t>
  </si>
  <si>
    <t>AA (Numeric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</si>
</sst>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0" fontId="1" fillId="0" borderId="0" xfId="0" applyFon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27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30" formatCode="@"/>
      <alignment wrapText="1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wrapText="1"/>
    </dxf>
    <dxf>
      <numFmt numFmtId="30" formatCode="@"/>
      <alignment wrapText="1"/>
    </dxf>
    <dxf>
      <numFmt numFmtId="30" formatCode="@"/>
      <alignment wrapText="1"/>
    </dxf>
    <dxf>
      <numFmt numFmtId="30" formatCode="@"/>
      <alignment wrapText="1"/>
    </dxf>
    <dxf>
      <alignment wrapText="1"/>
    </dxf>
    <dxf>
      <alignment wrapText="1"/>
    </dxf>
    <dxf>
      <numFmt numFmtId="0" formatCode="General"/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Sheet1!$X$1</c:f>
              <c:strCache>
                <c:ptCount val="1"/>
                <c:pt idx="0">
                  <c:v>SUM_TOTAL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Sheet1!$X$2:$X$6</c:f>
              <c:numCache>
                <c:formatCode>General</c:formatCode>
                <c:ptCount val="5"/>
                <c:pt idx="0">
                  <c:v>30</c:v>
                </c:pt>
                <c:pt idx="1">
                  <c:v>47.5</c:v>
                </c:pt>
                <c:pt idx="2">
                  <c:v>30</c:v>
                </c:pt>
                <c:pt idx="3">
                  <c:v>42.5</c:v>
                </c:pt>
                <c:pt idx="4">
                  <c:v>47.5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6-4C80-804C-92A1B78D2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479239"/>
        <c:axId val="1855208967"/>
      </c:lineChart>
      <c:catAx>
        <c:axId val="552479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208967"/>
        <c:crosses val="autoZero"/>
        <c:auto val="1"/>
        <c:lblAlgn val="ctr"/>
        <c:lblOffset val="100"/>
        <c:noMultiLvlLbl val="0"/>
      </c:catAx>
      <c:valAx>
        <c:axId val="1855208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79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76200</xdr:colOff>
      <xdr:row>0</xdr:row>
      <xdr:rowOff>95250</xdr:rowOff>
    </xdr:from>
    <xdr:to>
      <xdr:col>31</xdr:col>
      <xdr:colOff>66675</xdr:colOff>
      <xdr:row>17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FB71FD-BCF7-30DF-DF79-52EE64B76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Y6" totalsRowShown="0" headerRowDxfId="26" dataDxfId="25">
  <autoFilter ref="A1:Y6" xr:uid="{00000000-0009-0000-0100-000001000000}"/>
  <tableColumns count="25">
    <tableColumn id="1" xr3:uid="{00000000-0010-0000-0000-000001000000}" name="Id" dataDxfId="2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3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2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2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I found the system intuitive to navigate and use._x000a_." dataDxfId="19">
      <extLst>
        <ext xmlns:xlmsforms="http://schemas.microsoft.com/office/spreadsheetml/2023/msForms" uri="{FCC71383-01E1-4257-9335-427F07BE8D7F}">
          <xlmsforms:question id="rbd26cff200d849999ae09cfac937238d"/>
        </ext>
      </extLst>
    </tableColumn>
    <tableColumn id="7" xr3:uid="{00000000-0010-0000-0000-000007000000}" name="The system had too many confusing features that were hard to understand.." dataDxfId="18">
      <extLst>
        <ext xmlns:xlmsforms="http://schemas.microsoft.com/office/spreadsheetml/2023/msForms" uri="{FCC71383-01E1-4257-9335-427F07BE8D7F}">
          <xlmsforms:question id="rab8742fb4a3248dea58dc68922182a13"/>
        </ext>
      </extLst>
    </tableColumn>
    <tableColumn id="8" xr3:uid="{00000000-0010-0000-0000-000008000000}" name="I was able to complete my tasks efficiently using this system.." dataDxfId="17">
      <extLst>
        <ext xmlns:xlmsforms="http://schemas.microsoft.com/office/spreadsheetml/2023/msForms" uri="{FCC71383-01E1-4257-9335-427F07BE8D7F}">
          <xlmsforms:question id="r29ed3cf6e0104b88b574bd0673913979"/>
        </ext>
      </extLst>
    </tableColumn>
    <tableColumn id="9" xr3:uid="{00000000-0010-0000-0000-000009000000}" name="The system's interface was clean and well-organized. ." dataDxfId="16">
      <extLst>
        <ext xmlns:xlmsforms="http://schemas.microsoft.com/office/spreadsheetml/2023/msForms" uri="{FCC71383-01E1-4257-9335-427F07BE8D7F}">
          <xlmsforms:question id="r34244c1bd4cb46d0b48b8f4a03bf0af8"/>
        </ext>
      </extLst>
    </tableColumn>
    <tableColumn id="10" xr3:uid="{00000000-0010-0000-0000-00000A000000}" name="I often felt lost while trying to find specific features or options. ." dataDxfId="15">
      <extLst>
        <ext xmlns:xlmsforms="http://schemas.microsoft.com/office/spreadsheetml/2023/msForms" uri="{FCC71383-01E1-4257-9335-427F07BE8D7F}">
          <xlmsforms:question id="r2f9e09081c8d45f0bd1ee22e37caceea"/>
        </ext>
      </extLst>
    </tableColumn>
    <tableColumn id="11" xr3:uid="{00000000-0010-0000-0000-00000B000000}" name="I would recommend this system to others for similar tasks.." dataDxfId="14">
      <extLst>
        <ext xmlns:xlmsforms="http://schemas.microsoft.com/office/spreadsheetml/2023/msForms" uri="{FCC71383-01E1-4257-9335-427F07BE8D7F}">
          <xlmsforms:question id="r08cea08a9757490592607040e87201a2"/>
        </ext>
      </extLst>
    </tableColumn>
    <tableColumn id="12" xr3:uid="{00000000-0010-0000-0000-00000C000000}" name="The system was too complex for the tasks needed to be performed.." dataDxfId="13">
      <extLst>
        <ext xmlns:xlmsforms="http://schemas.microsoft.com/office/spreadsheetml/2023/msForms" uri="{FCC71383-01E1-4257-9335-427F07BE8D7F}">
          <xlmsforms:question id="rd7463f4cb924482caa1d6bb0373e47c0"/>
        </ext>
      </extLst>
    </tableColumn>
    <tableColumn id="13" xr3:uid="{00000000-0010-0000-0000-00000D000000}" name="I felt in control of the system and its functions.." dataDxfId="12">
      <extLst>
        <ext xmlns:xlmsforms="http://schemas.microsoft.com/office/spreadsheetml/2023/msForms" uri="{FCC71383-01E1-4257-9335-427F07BE8D7F}">
          <xlmsforms:question id="r002dcbaa1e564657b6e6aad639dcfc8d"/>
        </ext>
      </extLst>
    </tableColumn>
    <tableColumn id="14" xr3:uid="{00000000-0010-0000-0000-00000E000000}" name="It took me too long to learn how to use the system effectively.." dataDxfId="11">
      <extLst>
        <ext xmlns:xlmsforms="http://schemas.microsoft.com/office/spreadsheetml/2023/msForms" uri="{FCC71383-01E1-4257-9335-427F07BE8D7F}">
          <xlmsforms:question id="rb877e22cdfb34d24af3f949babfc9abd"/>
        </ext>
      </extLst>
    </tableColumn>
    <tableColumn id="15" xr3:uid="{E08A2A67-D40C-4FB6-B263-ECF447569237}" name="Q1" dataDxfId="10">
      <calculatedColumnFormula>VLOOKUP(F2, Sheet2!$A$2:$B$6, 2, FALSE) - 1</calculatedColumnFormula>
    </tableColumn>
    <tableColumn id="16" xr3:uid="{58F0FC1A-EB44-4925-9C22-28BC499C37B4}" name="Q2" dataDxfId="9">
      <calculatedColumnFormula>5 - VLOOKUP(G2, Sheet2!$A$2:$B$6, 2, FALSE)</calculatedColumnFormula>
    </tableColumn>
    <tableColumn id="17" xr3:uid="{561E425F-9D21-4C23-B1F2-9055C14F50E7}" name="Q3" dataDxfId="8">
      <calculatedColumnFormula>VLOOKUP(H2, Sheet2!$A$2:$B$6, 2, FALSE) - 1</calculatedColumnFormula>
    </tableColumn>
    <tableColumn id="18" xr3:uid="{538AC10F-DDD4-432A-B4E9-320D1F17A355}" name="Q4" dataDxfId="7">
      <calculatedColumnFormula>5 - VLOOKUP(I2, Sheet2!$A$2:$B$6, 2, FALSE)</calculatedColumnFormula>
    </tableColumn>
    <tableColumn id="19" xr3:uid="{BA1E4396-0A8C-44AD-9623-4F6D936D34B4}" name="Q5" dataDxfId="6">
      <calculatedColumnFormula>VLOOKUP(J2, Sheet2!$A$2:$B$6, 2, FALSE) - 1</calculatedColumnFormula>
    </tableColumn>
    <tableColumn id="20" xr3:uid="{B835BEE8-5F19-45E3-ABB4-2DDD4A0412D6}" name="Q6" dataDxfId="5">
      <calculatedColumnFormula>5 - VLOOKUP(K2, Sheet2!$A$2:$B$6, 2, FALSE)</calculatedColumnFormula>
    </tableColumn>
    <tableColumn id="21" xr3:uid="{0875DF28-7B18-47BC-95A0-47BEE00B5F74}" name="Q7" dataDxfId="4">
      <calculatedColumnFormula>VLOOKUP(L2, Sheet2!$A$2:$B$6, 2, FALSE) - 1</calculatedColumnFormula>
    </tableColumn>
    <tableColumn id="22" xr3:uid="{AB38AB91-7BAE-40F0-9DA2-C2DA090868E6}" name="Q8" dataDxfId="3">
      <calculatedColumnFormula>5 - VLOOKUP(M2, Sheet2!$A$2:$B$6, 2, FALSE)</calculatedColumnFormula>
    </tableColumn>
    <tableColumn id="25" xr3:uid="{24E1DA71-DCB5-4F93-B28F-856F88342A5A}" name="Q9" dataDxfId="2">
      <calculatedColumnFormula>VLOOKUP(M2, Sheet2!$A$2:$B$6, 2, FALSE) - 1</calculatedColumnFormula>
    </tableColumn>
    <tableColumn id="27" xr3:uid="{D8D629EE-7525-436A-A4EE-3E54CE3E7A02}" name="SUM_TOTAL" dataDxfId="1">
      <calculatedColumnFormula>SUM(O2:W2) * 2.5</calculatedColumnFormula>
    </tableColumn>
    <tableColumn id="28" xr3:uid="{84743349-C322-413F-BFF1-C959A1C4C147}" name="Column1" dataDxfId="0">
      <calculatedColumnFormula>AVERAGE(X2:X6)</calculatedColumnFormula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K9i8nnE6v0mJHobYGaCRHCmdyv25LFtHl4zGxl7-jJ9UMDQyMkYyRkJGRTM2WkE5TkE1VEpLUTFKSi4u" isFormConnected="1" maxResponseId="6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rbd26cff200d849999ae09cfac937238d</xlmsforms:syncedQuestionId>
        <xlmsforms:syncedQuestionId>rab8742fb4a3248dea58dc68922182a13</xlmsforms:syncedQuestionId>
        <xlmsforms:syncedQuestionId>r29ed3cf6e0104b88b574bd0673913979</xlmsforms:syncedQuestionId>
        <xlmsforms:syncedQuestionId>r34244c1bd4cb46d0b48b8f4a03bf0af8</xlmsforms:syncedQuestionId>
        <xlmsforms:syncedQuestionId>r2f9e09081c8d45f0bd1ee22e37caceea</xlmsforms:syncedQuestionId>
        <xlmsforms:syncedQuestionId>r08cea08a9757490592607040e87201a2</xlmsforms:syncedQuestionId>
        <xlmsforms:syncedQuestionId>rd7463f4cb924482caa1d6bb0373e47c0</xlmsforms:syncedQuestionId>
        <xlmsforms:syncedQuestionId>r002dcbaa1e564657b6e6aad639dcfc8d</xlmsforms:syncedQuestionId>
        <xlmsforms:syncedQuestionId>rb877e22cdfb34d24af3f949babfc9abd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topLeftCell="S1" workbookViewId="0">
      <selection activeCell="AB15" sqref="AB15"/>
    </sheetView>
  </sheetViews>
  <sheetFormatPr defaultColWidth="16.85546875" defaultRowHeight="15"/>
  <cols>
    <col min="1" max="1" width="4.85546875" style="1" bestFit="1" customWidth="1"/>
    <col min="2" max="2" width="16.5703125" style="1" bestFit="1" customWidth="1"/>
    <col min="3" max="3" width="18.140625" style="1" bestFit="1" customWidth="1"/>
    <col min="4" max="4" width="11" style="1" bestFit="1" customWidth="1"/>
    <col min="5" max="5" width="8.42578125" style="1" bestFit="1" customWidth="1"/>
    <col min="6" max="14" width="19.140625" style="1" bestFit="1" customWidth="1"/>
    <col min="15" max="22" width="11.140625" style="1" bestFit="1" customWidth="1"/>
    <col min="23" max="16384" width="16.85546875" style="1"/>
  </cols>
  <sheetData>
    <row r="1" spans="1:25" ht="7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2</v>
      </c>
      <c r="B2" s="2">
        <v>45981.102407407408</v>
      </c>
      <c r="C2" s="2">
        <v>45981.104537037034</v>
      </c>
      <c r="D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27</v>
      </c>
      <c r="K2" s="1" t="s">
        <v>26</v>
      </c>
      <c r="L2" s="1" t="s">
        <v>28</v>
      </c>
      <c r="M2" s="1" t="s">
        <v>27</v>
      </c>
      <c r="N2" s="1" t="s">
        <v>27</v>
      </c>
      <c r="O2" s="1">
        <f>VLOOKUP(F2, Sheet2!$A$2:$B$6, 2, FALSE) - 1</f>
        <v>3</v>
      </c>
      <c r="P2" s="1">
        <f>5 - VLOOKUP(G2, Sheet2!$A$2:$B$6, 2, FALSE)</f>
        <v>3</v>
      </c>
      <c r="Q2" s="1">
        <f>VLOOKUP(H2, Sheet2!$A$2:$B$6, 2, FALSE) - 1</f>
        <v>0</v>
      </c>
      <c r="R2" s="1">
        <f>5 - VLOOKUP(I2, Sheet2!$A$2:$B$6, 2, FALSE)</f>
        <v>0</v>
      </c>
      <c r="S2" s="1">
        <f>VLOOKUP(J2, Sheet2!$A$2:$B$6, 2, FALSE) - 1</f>
        <v>1</v>
      </c>
      <c r="T2" s="1">
        <f>5 - VLOOKUP(K2, Sheet2!$A$2:$B$6, 2, FALSE)</f>
        <v>1</v>
      </c>
      <c r="U2" s="1">
        <f>VLOOKUP(L2, Sheet2!$A$2:$B$6, 2, FALSE) - 1</f>
        <v>0</v>
      </c>
      <c r="V2" s="1">
        <f>5 - VLOOKUP(M2, Sheet2!$A$2:$B$6, 2, FALSE)</f>
        <v>3</v>
      </c>
      <c r="W2" s="4">
        <f>VLOOKUP(M2, Sheet2!$A$2:$B$6, 2, FALSE) - 1</f>
        <v>1</v>
      </c>
      <c r="X2" s="1">
        <f t="shared" ref="X2:X6" si="0">SUM(O2:W2) * 2.5</f>
        <v>30</v>
      </c>
    </row>
    <row r="3" spans="1:25" ht="30.75">
      <c r="A3" s="1">
        <v>3</v>
      </c>
      <c r="B3" s="2">
        <v>45982.635034722225</v>
      </c>
      <c r="C3" s="2">
        <v>45982.636481481481</v>
      </c>
      <c r="D3" s="1" t="s">
        <v>25</v>
      </c>
      <c r="F3" s="1" t="s">
        <v>29</v>
      </c>
      <c r="G3" s="1" t="s">
        <v>27</v>
      </c>
      <c r="H3" s="1" t="s">
        <v>29</v>
      </c>
      <c r="I3" s="1" t="s">
        <v>26</v>
      </c>
      <c r="J3" s="1" t="s">
        <v>27</v>
      </c>
      <c r="K3" s="1" t="s">
        <v>29</v>
      </c>
      <c r="L3" s="1" t="s">
        <v>30</v>
      </c>
      <c r="M3" s="1" t="s">
        <v>30</v>
      </c>
      <c r="N3" s="1" t="s">
        <v>27</v>
      </c>
      <c r="O3" s="1">
        <f>VLOOKUP(F3, Sheet2!$A$2:$B$6, 2, FALSE) - 1</f>
        <v>4</v>
      </c>
      <c r="P3" s="1">
        <f>5 - VLOOKUP(G3, Sheet2!$A$2:$B$6, 2, FALSE)</f>
        <v>3</v>
      </c>
      <c r="Q3" s="1">
        <f>VLOOKUP(H3, Sheet2!$A$2:$B$6, 2, FALSE) - 1</f>
        <v>4</v>
      </c>
      <c r="R3" s="1">
        <f>5 - VLOOKUP(I3, Sheet2!$A$2:$B$6, 2, FALSE)</f>
        <v>1</v>
      </c>
      <c r="S3" s="1">
        <f>VLOOKUP(J3, Sheet2!$A$2:$B$6, 2, FALSE) - 1</f>
        <v>1</v>
      </c>
      <c r="T3" s="1">
        <f>5 - VLOOKUP(K3, Sheet2!$A$2:$B$6, 2, FALSE)</f>
        <v>0</v>
      </c>
      <c r="U3" s="1">
        <f>VLOOKUP(L3, Sheet2!$A$2:$B$6, 2, FALSE) - 1</f>
        <v>2</v>
      </c>
      <c r="V3" s="1">
        <f>5 - VLOOKUP(M3, Sheet2!$A$2:$B$6, 2, FALSE)</f>
        <v>2</v>
      </c>
      <c r="W3" s="4">
        <f>VLOOKUP(M3, Sheet2!$A$2:$B$6, 2, FALSE) - 1</f>
        <v>2</v>
      </c>
      <c r="X3" s="1">
        <f t="shared" si="0"/>
        <v>47.5</v>
      </c>
    </row>
    <row r="4" spans="1:25">
      <c r="A4" s="1">
        <v>4</v>
      </c>
      <c r="B4" s="2">
        <v>45982.784814814811</v>
      </c>
      <c r="C4" s="2">
        <v>45982.785798611112</v>
      </c>
      <c r="D4" s="1" t="s">
        <v>25</v>
      </c>
      <c r="F4" s="1" t="s">
        <v>29</v>
      </c>
      <c r="G4" s="1" t="s">
        <v>27</v>
      </c>
      <c r="H4" s="1" t="s">
        <v>28</v>
      </c>
      <c r="I4" s="1" t="s">
        <v>29</v>
      </c>
      <c r="J4" s="1" t="s">
        <v>28</v>
      </c>
      <c r="K4" s="1" t="s">
        <v>26</v>
      </c>
      <c r="L4" s="1" t="s">
        <v>28</v>
      </c>
      <c r="M4" s="1" t="s">
        <v>29</v>
      </c>
      <c r="N4" s="1" t="s">
        <v>28</v>
      </c>
      <c r="O4" s="1">
        <f>VLOOKUP(F4, Sheet2!$A$2:$B$6, 2, FALSE) - 1</f>
        <v>4</v>
      </c>
      <c r="P4" s="1">
        <f>5 - VLOOKUP(G4, Sheet2!$A$2:$B$6, 2, FALSE)</f>
        <v>3</v>
      </c>
      <c r="Q4" s="1">
        <f>VLOOKUP(H4, Sheet2!$A$2:$B$6, 2, FALSE) - 1</f>
        <v>0</v>
      </c>
      <c r="R4" s="1">
        <f>5 - VLOOKUP(I4, Sheet2!$A$2:$B$6, 2, FALSE)</f>
        <v>0</v>
      </c>
      <c r="S4" s="1">
        <f>VLOOKUP(J4, Sheet2!$A$2:$B$6, 2, FALSE) - 1</f>
        <v>0</v>
      </c>
      <c r="T4" s="1">
        <f>5 - VLOOKUP(K4, Sheet2!$A$2:$B$6, 2, FALSE)</f>
        <v>1</v>
      </c>
      <c r="U4" s="1">
        <f>VLOOKUP(L4, Sheet2!$A$2:$B$6, 2, FALSE) - 1</f>
        <v>0</v>
      </c>
      <c r="V4" s="1">
        <f>5 - VLOOKUP(M4, Sheet2!$A$2:$B$6, 2, FALSE)</f>
        <v>0</v>
      </c>
      <c r="W4" s="4">
        <f>VLOOKUP(M4, Sheet2!$A$2:$B$6, 2, FALSE) - 1</f>
        <v>4</v>
      </c>
      <c r="X4" s="1">
        <f t="shared" si="0"/>
        <v>30</v>
      </c>
    </row>
    <row r="5" spans="1:25">
      <c r="A5" s="1">
        <v>5</v>
      </c>
      <c r="B5" s="2">
        <v>45982.785462962966</v>
      </c>
      <c r="C5" s="2">
        <v>45982.786030092589</v>
      </c>
      <c r="D5" s="1" t="s">
        <v>25</v>
      </c>
      <c r="F5" s="1" t="s">
        <v>26</v>
      </c>
      <c r="G5" s="1" t="s">
        <v>27</v>
      </c>
      <c r="H5" s="1" t="s">
        <v>29</v>
      </c>
      <c r="I5" s="1" t="s">
        <v>29</v>
      </c>
      <c r="J5" s="1" t="s">
        <v>27</v>
      </c>
      <c r="K5" s="1" t="s">
        <v>26</v>
      </c>
      <c r="L5" s="1" t="s">
        <v>27</v>
      </c>
      <c r="M5" s="1" t="s">
        <v>29</v>
      </c>
      <c r="N5" s="1" t="s">
        <v>28</v>
      </c>
      <c r="O5" s="1">
        <f>VLOOKUP(F5, Sheet2!$A$2:$B$6, 2, FALSE) - 1</f>
        <v>3</v>
      </c>
      <c r="P5" s="1">
        <f>5 - VLOOKUP(G5, Sheet2!$A$2:$B$6, 2, FALSE)</f>
        <v>3</v>
      </c>
      <c r="Q5" s="1">
        <f>VLOOKUP(H5, Sheet2!$A$2:$B$6, 2, FALSE) - 1</f>
        <v>4</v>
      </c>
      <c r="R5" s="1">
        <f>5 - VLOOKUP(I5, Sheet2!$A$2:$B$6, 2, FALSE)</f>
        <v>0</v>
      </c>
      <c r="S5" s="1">
        <f>VLOOKUP(J5, Sheet2!$A$2:$B$6, 2, FALSE) - 1</f>
        <v>1</v>
      </c>
      <c r="T5" s="1">
        <f>5 - VLOOKUP(K5, Sheet2!$A$2:$B$6, 2, FALSE)</f>
        <v>1</v>
      </c>
      <c r="U5" s="1">
        <f>VLOOKUP(L5, Sheet2!$A$2:$B$6, 2, FALSE) - 1</f>
        <v>1</v>
      </c>
      <c r="V5" s="1">
        <f>5 - VLOOKUP(M5, Sheet2!$A$2:$B$6, 2, FALSE)</f>
        <v>0</v>
      </c>
      <c r="W5" s="4">
        <f>VLOOKUP(M5, Sheet2!$A$2:$B$6, 2, FALSE) - 1</f>
        <v>4</v>
      </c>
      <c r="X5" s="1">
        <f t="shared" si="0"/>
        <v>42.5</v>
      </c>
    </row>
    <row r="6" spans="1:25" ht="30.75">
      <c r="A6" s="1">
        <v>6</v>
      </c>
      <c r="B6" s="2">
        <v>45982.787210648145</v>
      </c>
      <c r="C6" s="2">
        <v>45982.789421296293</v>
      </c>
      <c r="D6" s="1" t="s">
        <v>25</v>
      </c>
      <c r="F6" s="1" t="s">
        <v>29</v>
      </c>
      <c r="G6" s="1" t="s">
        <v>27</v>
      </c>
      <c r="H6" s="1" t="s">
        <v>27</v>
      </c>
      <c r="I6" s="1" t="s">
        <v>26</v>
      </c>
      <c r="J6" s="1" t="s">
        <v>30</v>
      </c>
      <c r="K6" s="1" t="s">
        <v>30</v>
      </c>
      <c r="L6" s="1" t="s">
        <v>30</v>
      </c>
      <c r="M6" s="1" t="s">
        <v>29</v>
      </c>
      <c r="N6" s="1" t="s">
        <v>30</v>
      </c>
      <c r="O6" s="1">
        <f>VLOOKUP(F6, Sheet2!$A$2:$B$6, 2, FALSE) - 1</f>
        <v>4</v>
      </c>
      <c r="P6" s="1">
        <f>5 - VLOOKUP(G6, Sheet2!$A$2:$B$6, 2, FALSE)</f>
        <v>3</v>
      </c>
      <c r="Q6" s="1">
        <f>VLOOKUP(H6, Sheet2!$A$2:$B$6, 2, FALSE) - 1</f>
        <v>1</v>
      </c>
      <c r="R6" s="1">
        <f>5 - VLOOKUP(I6, Sheet2!$A$2:$B$6, 2, FALSE)</f>
        <v>1</v>
      </c>
      <c r="S6" s="1">
        <f>VLOOKUP(J6, Sheet2!$A$2:$B$6, 2, FALSE) - 1</f>
        <v>2</v>
      </c>
      <c r="T6" s="1">
        <f>5 - VLOOKUP(K6, Sheet2!$A$2:$B$6, 2, FALSE)</f>
        <v>2</v>
      </c>
      <c r="U6" s="1">
        <f>VLOOKUP(L6, Sheet2!$A$2:$B$6, 2, FALSE) - 1</f>
        <v>2</v>
      </c>
      <c r="V6" s="1">
        <f>5 - VLOOKUP(M6, Sheet2!$A$2:$B$6, 2, FALSE)</f>
        <v>0</v>
      </c>
      <c r="W6" s="4">
        <f>VLOOKUP(M6, Sheet2!$A$2:$B$6, 2, FALSE) - 1</f>
        <v>4</v>
      </c>
      <c r="X6" s="1">
        <f t="shared" si="0"/>
        <v>47.5</v>
      </c>
    </row>
    <row r="8" spans="1:25">
      <c r="X8" s="1">
        <f>AVERAGE(X2:X6)</f>
        <v>39.5</v>
      </c>
    </row>
    <row r="9" spans="1:25">
      <c r="C9" s="1">
        <f xml:space="preserve"> O2 - 1</f>
        <v>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C35B-76B2-4880-B1B4-40E97322CFC1}">
  <dimension ref="A1:B6"/>
  <sheetViews>
    <sheetView workbookViewId="0">
      <selection activeCell="A11" sqref="A11"/>
    </sheetView>
  </sheetViews>
  <sheetFormatPr defaultRowHeight="15"/>
  <cols>
    <col min="1" max="1" width="24.140625" bestFit="1" customWidth="1"/>
    <col min="2" max="2" width="18.42578125" bestFit="1" customWidth="1"/>
  </cols>
  <sheetData>
    <row r="1" spans="1:2">
      <c r="A1" s="3" t="s">
        <v>31</v>
      </c>
      <c r="B1" s="3" t="s">
        <v>32</v>
      </c>
    </row>
    <row r="2" spans="1:2">
      <c r="A2" t="s">
        <v>28</v>
      </c>
      <c r="B2">
        <v>1</v>
      </c>
    </row>
    <row r="3" spans="1:2">
      <c r="A3" t="s">
        <v>27</v>
      </c>
      <c r="B3">
        <v>2</v>
      </c>
    </row>
    <row r="4" spans="1:2">
      <c r="A4" t="s">
        <v>30</v>
      </c>
      <c r="B4">
        <v>3</v>
      </c>
    </row>
    <row r="5" spans="1:2">
      <c r="A5" t="s">
        <v>26</v>
      </c>
      <c r="B5">
        <v>4</v>
      </c>
    </row>
    <row r="6" spans="1:2">
      <c r="A6" t="s">
        <v>29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2025-11-21T13:27:01Z</dcterms:created>
  <dcterms:modified xsi:type="dcterms:W3CDTF">2025-11-21T13:57:00Z</dcterms:modified>
  <cp:category/>
  <cp:contentStatus/>
</cp:coreProperties>
</file>